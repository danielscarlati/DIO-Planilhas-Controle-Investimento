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Aplicação" sheetId="1" r:id="rId1"/>
  </sheets>
  <definedNames>
    <definedName name="rendimento_carteira">Aplicação!$C$19</definedName>
    <definedName name="aporte">Aplicação!$C$23</definedName>
    <definedName name="qtd_anos">Aplicação!$C$24</definedName>
    <definedName name="taxa_mensal">Aplicação!$C$25</definedName>
    <definedName name="salario">Aplicação!$C$18</definedName>
    <definedName name="patrimonio">Aplicação!$C$26</definedName>
    <definedName name="sugestao_investimento">Aplicação!$C$20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<sst xmlns="http://schemas.openxmlformats.org/spreadsheetml/2006/main" count="44" uniqueCount="41">
  <si>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</si>
  <si>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</si>
  <si>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</si>
  <si>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</si>
  <si>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</si>
  <si>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</si>
  <si>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</si>
  <si>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</si>
  <si>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</si>
  <si>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</si>
  <si>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</si>
  <si>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</si>
  <si>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</si>
  <si>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</si>
  <si>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</si>
  <si>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</si>
  <si>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</si>
  <si>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</si>
  <si>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Otimista</t>
  </si>
  <si>
    <t>TAXA MENSAL</t>
  </si>
  <si>
    <t>Cenário</t>
  </si>
  <si>
    <t>Taxa Mensal</t>
  </si>
  <si>
    <t>Conservador</t>
  </si>
  <si>
    <t>SIMULADOR DE PERFIL</t>
  </si>
  <si>
    <t>Resultados</t>
  </si>
  <si>
    <t>Moderado</t>
  </si>
  <si>
    <t>Patrimonio Final Acumulado</t>
  </si>
  <si>
    <t>Total Aportado do Bolso</t>
  </si>
  <si>
    <t>Total Recebido em proventos / juros</t>
  </si>
  <si>
    <t>Renda Mensal Estimada ao Final do prazo</t>
  </si>
  <si>
    <t>BENCHMARK(CDI LÍQUIDO)</t>
  </si>
  <si>
    <t>CDI Bruto Anual</t>
  </si>
  <si>
    <t>Alíquota de IR Longo Prazo</t>
  </si>
  <si>
    <t>Taxa Mensal Líquida do CDI</t>
  </si>
  <si>
    <t>Patrimônio no CDI Líquido</t>
  </si>
  <si>
    <t>Vantagem dos FIIs sobre o CDI</t>
  </si>
  <si>
    <t>META DE RENDA MENSAL DESEJADA</t>
  </si>
  <si>
    <t>PRAZO DESEJADO EM ANOS</t>
  </si>
  <si>
    <t>SIMULADOR DE METAS</t>
  </si>
  <si>
    <t>Patrimônio Alvo Necessário</t>
  </si>
  <si>
    <t>Aporte Mensal Necessário para Bater a Meta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</si>
</sst>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0.00\)"/>
    <numFmt numFmtId="181" formatCode="0_);[Red]\(0\)"/>
    <numFmt numFmtId="182" formatCode="&quot;R$&quot;\ #,##0.00_);[Red]\(&quot;R$&quot;\ #,###.00\)"/>
    <numFmt numFmtId="183" formatCode="&quot;R$&quot;#,##0.00;[Red]\-&quot;R$&quot;#,##0.00"/>
  </numFmts>
  <fonts count="28">
    <font>
      <sz val="10"/>
      <color theme="1"/>
      <name val="Calibri"/>
      <charset val="134"/>
      <scheme val="minor"/>
    </font>
    <font>
      <sz val="14"/>
      <color theme="0"/>
      <name val="Bahnschrift"/>
      <charset val="134"/>
    </font>
    <font>
      <sz val="12"/>
      <color theme="1"/>
      <name val="Arial"/>
      <charset val="134"/>
    </font>
    <font>
      <sz val="20"/>
      <color theme="0"/>
      <name val="Bahnschrift"/>
      <charset val="134"/>
    </font>
    <font>
      <sz val="20"/>
      <color theme="1"/>
      <name val="Bahnschrift"/>
      <charset val="134"/>
    </font>
    <font>
      <b/>
      <sz val="12"/>
      <color theme="1"/>
      <name val="Arial"/>
      <charset val="134"/>
    </font>
    <font>
      <sz val="10"/>
      <color theme="0"/>
      <name val="Calibri"/>
      <charset val="134"/>
      <scheme val="minor"/>
    </font>
    <font>
      <sz val="12"/>
      <name val="Arial"/>
      <charset val="134"/>
    </font>
    <font>
      <sz val="12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31" applyNumberFormat="0" applyAlignment="0" applyProtection="0">
      <alignment vertical="center"/>
    </xf>
    <xf numFmtId="0" fontId="18" fillId="8" borderId="32" applyNumberFormat="0" applyAlignment="0" applyProtection="0">
      <alignment vertical="center"/>
    </xf>
    <xf numFmtId="0" fontId="19" fillId="8" borderId="31" applyNumberFormat="0" applyAlignment="0" applyProtection="0">
      <alignment vertical="center"/>
    </xf>
    <xf numFmtId="0" fontId="20" fillId="9" borderId="33" applyNumberFormat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80" fontId="2" fillId="0" borderId="8" xfId="0" applyNumberFormat="1" applyFont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2" fillId="0" borderId="3" xfId="0" applyFont="1" applyBorder="1">
      <alignment vertical="center"/>
    </xf>
    <xf numFmtId="180" fontId="2" fillId="0" borderId="4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181" fontId="2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5" fillId="4" borderId="5" xfId="0" applyFont="1" applyFill="1" applyBorder="1">
      <alignment vertical="center"/>
    </xf>
    <xf numFmtId="182" fontId="5" fillId="4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180" fontId="5" fillId="4" borderId="8" xfId="0" applyNumberFormat="1" applyFont="1" applyFill="1" applyBorder="1" applyAlignment="1">
      <alignment horizontal="center" vertical="center"/>
    </xf>
    <xf numFmtId="0" fontId="4" fillId="3" borderId="9" xfId="0" applyFont="1" applyFill="1" applyBorder="1">
      <alignment vertical="center"/>
    </xf>
    <xf numFmtId="0" fontId="1" fillId="3" borderId="1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4" borderId="11" xfId="0" applyFont="1" applyFill="1" applyBorder="1">
      <alignment vertical="center"/>
    </xf>
    <xf numFmtId="183" fontId="7" fillId="4" borderId="12" xfId="0" applyNumberFormat="1" applyFont="1" applyFill="1" applyBorder="1">
      <alignment vertical="center"/>
    </xf>
    <xf numFmtId="180" fontId="7" fillId="4" borderId="4" xfId="0" applyNumberFormat="1" applyFont="1" applyFill="1" applyBorder="1">
      <alignment vertical="center"/>
    </xf>
    <xf numFmtId="0" fontId="7" fillId="4" borderId="13" xfId="0" applyFont="1" applyFill="1" applyBorder="1">
      <alignment vertical="center"/>
    </xf>
    <xf numFmtId="183" fontId="7" fillId="4" borderId="14" xfId="0" applyNumberFormat="1" applyFont="1" applyFill="1" applyBorder="1">
      <alignment vertical="center"/>
    </xf>
    <xf numFmtId="0" fontId="7" fillId="4" borderId="15" xfId="0" applyFont="1" applyFill="1" applyBorder="1">
      <alignment vertical="center"/>
    </xf>
    <xf numFmtId="183" fontId="7" fillId="4" borderId="16" xfId="0" applyNumberFormat="1" applyFont="1" applyFill="1" applyBorder="1">
      <alignment vertical="center"/>
    </xf>
    <xf numFmtId="180" fontId="7" fillId="4" borderId="17" xfId="0" applyNumberFormat="1" applyFont="1" applyFill="1" applyBorder="1">
      <alignment vertical="center"/>
    </xf>
    <xf numFmtId="0" fontId="8" fillId="3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10" fontId="2" fillId="5" borderId="21" xfId="3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0" fontId="7" fillId="5" borderId="4" xfId="0" applyNumberFormat="1" applyFont="1" applyFill="1" applyBorder="1">
      <alignment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10" fontId="7" fillId="4" borderId="4" xfId="0" applyNumberFormat="1" applyFont="1" applyFill="1" applyBorder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80" fontId="7" fillId="4" borderId="8" xfId="0" applyNumberFormat="1" applyFont="1" applyFill="1" applyBorder="1">
      <alignment vertical="center"/>
    </xf>
    <xf numFmtId="0" fontId="7" fillId="0" borderId="0" xfId="0" applyFont="1" applyFill="1" applyAlignment="1">
      <alignment horizontal="center" vertical="center"/>
    </xf>
    <xf numFmtId="180" fontId="7" fillId="0" borderId="0" xfId="0" applyNumberFormat="1" applyFont="1" applyFill="1">
      <alignment vertical="center"/>
    </xf>
    <xf numFmtId="0" fontId="8" fillId="3" borderId="24" xfId="0" applyFont="1" applyFill="1" applyBorder="1" applyAlignment="1">
      <alignment horizontal="center" vertical="center"/>
    </xf>
    <xf numFmtId="180" fontId="2" fillId="0" borderId="25" xfId="0" applyNumberFormat="1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181" fontId="2" fillId="0" borderId="27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306070</xdr:colOff>
      <xdr:row>1</xdr:row>
      <xdr:rowOff>57150</xdr:rowOff>
    </xdr:from>
    <xdr:to>
      <xdr:col>4</xdr:col>
      <xdr:colOff>800100</xdr:colOff>
      <xdr:row>15</xdr:row>
      <xdr:rowOff>45720</xdr:rowOff>
    </xdr:to>
    <xdr:pic>
      <xdr:nvPicPr>
        <xdr:cNvPr id="2" name="Imagem 1" descr="bann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070" y="219075"/>
          <a:ext cx="7656830" cy="22555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F40:G43" totalsRowShown="0">
  <tableColumns count="2">
    <tableColumn id="1" name="Cenário"/>
    <tableColumn id="2" name="Taxa Mensal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7:G63"/>
  <sheetViews>
    <sheetView showGridLines="0" tabSelected="1" workbookViewId="0">
      <selection activeCell="E65" sqref="E65"/>
    </sheetView>
  </sheetViews>
  <sheetFormatPr defaultColWidth="9.14285714285714" defaultRowHeight="12.75" outlineLevelCol="6"/>
  <cols>
    <col min="1" max="1" width="5.42857142857143" customWidth="1"/>
    <col min="2" max="2" width="48.2857142857143" customWidth="1"/>
    <col min="3" max="3" width="31.4285714285714" customWidth="1"/>
    <col min="4" max="4" width="22.2857142857143" customWidth="1"/>
    <col min="5" max="5" width="22.8571428571429" customWidth="1"/>
    <col min="6" max="7" width="11.7142857142857" customWidth="1"/>
    <col min="8" max="8" width="4.42857142857143" customWidth="1"/>
    <col min="9" max="9" width="4.71428571428571" customWidth="1"/>
    <col min="10" max="16384" width="9.14285714285714" hidden="1" customWidth="1"/>
  </cols>
  <sheetData>
    <row r="17" ht="18" spans="1:4">
      <c r="B17" s="1" t="s">
        <v>0</v>
      </c>
      <c r="C17" s="2"/>
    </row>
    <row r="18" ht="15" spans="1:4">
      <c r="B18" s="3" t="s">
        <v>1</v>
      </c>
      <c r="C18" s="4">
        <v>5000</v>
      </c>
    </row>
    <row r="19" ht="15" spans="1:4">
      <c r="B19" s="5" t="s">
        <v>2</v>
      </c>
      <c r="C19" s="6">
        <v>0.01</v>
      </c>
    </row>
    <row r="20" ht="15.75" spans="1:4">
      <c r="B20" s="7" t="s">
        <v>3</v>
      </c>
      <c r="C20" s="8">
        <f xml:space="preserve">salario*30%</f>
        <v>1500</v>
      </c>
    </row>
    <row r="21" ht="13.5"/>
    <row r="22" ht="25.5" spans="1:4">
      <c r="B22" s="9" t="s">
        <v>4</v>
      </c>
      <c r="C22" s="10"/>
    </row>
    <row r="23" ht="15" spans="1:4">
      <c r="B23" s="11" t="s">
        <v>5</v>
      </c>
      <c r="C23" s="12">
        <v>750</v>
      </c>
    </row>
    <row r="24" ht="15" spans="1:4">
      <c r="B24" s="13" t="s">
        <v>6</v>
      </c>
      <c r="C24" s="14">
        <v>5</v>
      </c>
    </row>
    <row r="25" ht="15.75" spans="1:4">
      <c r="B25" s="13" t="s">
        <v>7</v>
      </c>
      <c r="C25" s="15">
        <v>0.01079</v>
      </c>
    </row>
    <row r="26" ht="15.75" spans="1:4">
      <c r="B26" s="16" t="s">
        <v>8</v>
      </c>
      <c r="C26" s="17">
        <f xml:space="preserve">FV(taxa_mensal,qtd_anos*12,aporte*-1)</f>
        <v>62832.6854988655</v>
      </c>
    </row>
    <row r="27" ht="16.5" spans="1:4">
      <c r="B27" s="18" t="s">
        <v>9</v>
      </c>
      <c r="C27" s="19">
        <f xml:space="preserve">patrimonio*rendimento_carteira</f>
        <v>628.326854988655</v>
      </c>
    </row>
    <row r="29" ht="13.5"/>
    <row r="30" ht="25.5" spans="1:4">
      <c r="B30" s="9" t="s">
        <v>10</v>
      </c>
      <c r="C30" s="20"/>
      <c r="D30" s="21" t="s">
        <v>11</v>
      </c>
    </row>
    <row r="31" ht="15" spans="1:4">
      <c r="A31" s="22">
        <v>2</v>
      </c>
      <c r="B31" s="23" t="s">
        <v>12</v>
      </c>
      <c r="C31" s="24">
        <f xml:space="preserve">FV($C$25,$A31*12,$C$23*-1)</f>
        <v>20420.7204732339</v>
      </c>
      <c r="D31" s="25">
        <f xml:space="preserve">C31*rendimento_carteira</f>
        <v>204.207204732339</v>
      </c>
    </row>
    <row r="32" ht="15" spans="1:4">
      <c r="A32" s="22">
        <v>5</v>
      </c>
      <c r="B32" s="26" t="s">
        <v>13</v>
      </c>
      <c r="C32" s="27">
        <f xml:space="preserve">FV($C$25,$A32*12,$C$23*-1)</f>
        <v>62832.6854988655</v>
      </c>
      <c r="D32" s="25">
        <f xml:space="preserve">C32*rendimento_carteira</f>
        <v>628.326854988655</v>
      </c>
    </row>
    <row r="33" ht="15" spans="1:7">
      <c r="A33" s="22">
        <v>10</v>
      </c>
      <c r="B33" s="26" t="s">
        <v>14</v>
      </c>
      <c r="C33" s="27">
        <f xml:space="preserve">FV($C$25,$A33*12,$C$23*-1)</f>
        <v>182463.159397628</v>
      </c>
      <c r="D33" s="25">
        <f xml:space="preserve">C33*rendimento_carteira</f>
        <v>1824.63159397628</v>
      </c>
    </row>
    <row r="34" ht="15" spans="1:7">
      <c r="A34" s="22">
        <v>20</v>
      </c>
      <c r="B34" s="26" t="s">
        <v>15</v>
      </c>
      <c r="C34" s="27">
        <f xml:space="preserve">FV($C$25,$A34*12,$C$23*-1)</f>
        <v>843898.800072804</v>
      </c>
      <c r="D34" s="25">
        <f xml:space="preserve">C34*rendimento_carteira</f>
        <v>8438.98800072804</v>
      </c>
    </row>
    <row r="35" ht="15.75" spans="1:7">
      <c r="A35" s="22">
        <v>30</v>
      </c>
      <c r="B35" s="28" t="s">
        <v>16</v>
      </c>
      <c r="C35" s="29">
        <f xml:space="preserve">FV($C$25,$A35*12,$C$23*-1)</f>
        <v>3241627.2412535</v>
      </c>
      <c r="D35" s="30">
        <f xml:space="preserve">C35*rendimento_carteira</f>
        <v>32416.272412535</v>
      </c>
    </row>
    <row r="38" ht="15" spans="1:7">
      <c r="B38" s="31" t="s">
        <v>17</v>
      </c>
      <c r="C38" s="32" t="s">
        <v>18</v>
      </c>
    </row>
    <row r="39" ht="15.75" spans="1:7">
      <c r="B39" s="33" t="s">
        <v>19</v>
      </c>
      <c r="C39" s="34">
        <f xml:space="preserve">VLOOKUP(C38, F41:G43, 2,FALSE)</f>
        <v>0.01</v>
      </c>
    </row>
    <row r="40" spans="1:7">
      <c r="F40" t="s">
        <v>20</v>
      </c>
      <c r="G40" t="s">
        <v>21</v>
      </c>
    </row>
    <row r="41" ht="13.5" spans="1:7">
      <c r="F41" t="s">
        <v>22</v>
      </c>
      <c r="G41" s="35">
        <v>0.006</v>
      </c>
    </row>
    <row r="42" ht="25.5" spans="1:7">
      <c r="B42" s="36" t="s">
        <v>23</v>
      </c>
      <c r="C42" s="37"/>
      <c r="D42" s="21" t="s">
        <v>24</v>
      </c>
      <c r="F42" t="s">
        <v>25</v>
      </c>
      <c r="G42" s="35">
        <v>0.008</v>
      </c>
    </row>
    <row r="43" ht="15" spans="1:7">
      <c r="B43" s="38" t="s">
        <v>26</v>
      </c>
      <c r="C43" s="39"/>
      <c r="D43" s="25">
        <f xml:space="preserve">FV(C39, C24*12, -C23)</f>
        <v>61252.2523923068</v>
      </c>
      <c r="F43" t="s">
        <v>18</v>
      </c>
      <c r="G43" s="35">
        <v>0.01</v>
      </c>
    </row>
    <row r="44" ht="15" spans="1:7">
      <c r="B44" s="40" t="s">
        <v>27</v>
      </c>
      <c r="C44" s="41"/>
      <c r="D44" s="25">
        <f xml:space="preserve">C23*(C24*12)</f>
        <v>45000</v>
      </c>
    </row>
    <row r="45" ht="15" spans="1:7">
      <c r="B45" s="40" t="s">
        <v>28</v>
      </c>
      <c r="C45" s="41"/>
      <c r="D45" s="25">
        <f xml:space="preserve">D43-D44</f>
        <v>16252.2523923068</v>
      </c>
    </row>
    <row r="46" ht="15.75" spans="1:7">
      <c r="B46" s="42" t="s">
        <v>29</v>
      </c>
      <c r="C46" s="43"/>
      <c r="D46" s="30">
        <f xml:space="preserve">D43*C39</f>
        <v>612.522523923068</v>
      </c>
    </row>
    <row r="49" ht="25.5" spans="2:4">
      <c r="B49" s="36" t="s">
        <v>30</v>
      </c>
      <c r="C49" s="37"/>
      <c r="D49" s="21" t="s">
        <v>24</v>
      </c>
    </row>
    <row r="50" ht="15" spans="2:4">
      <c r="B50" s="44" t="s">
        <v>31</v>
      </c>
      <c r="C50" s="45"/>
      <c r="D50" s="46">
        <v>0.105</v>
      </c>
    </row>
    <row r="51" ht="15" spans="2:4">
      <c r="B51" s="47" t="s">
        <v>32</v>
      </c>
      <c r="C51" s="48"/>
      <c r="D51" s="46">
        <v>0.15</v>
      </c>
    </row>
    <row r="52" ht="15" spans="2:4">
      <c r="B52" s="40" t="s">
        <v>33</v>
      </c>
      <c r="C52" s="41"/>
      <c r="D52" s="49">
        <f xml:space="preserve">(1+(D50*(1-D51)))^(1/12) - 1</f>
        <v>0.00714955238133475</v>
      </c>
    </row>
    <row r="53" ht="15" spans="2:4">
      <c r="B53" s="50" t="s">
        <v>34</v>
      </c>
      <c r="C53" s="51"/>
      <c r="D53" s="25">
        <f xml:space="preserve">FV(D52, qtd_anos*12, -aporte)</f>
        <v>55948.0274019424</v>
      </c>
    </row>
    <row r="54" ht="15.75" spans="2:4">
      <c r="B54" s="52" t="s">
        <v>35</v>
      </c>
      <c r="C54" s="53"/>
      <c r="D54" s="54">
        <f xml:space="preserve">D43-D53</f>
        <v>5304.22499036449</v>
      </c>
    </row>
    <row r="55" ht="15" spans="2:4">
      <c r="B55" s="55"/>
      <c r="C55" s="55"/>
      <c r="D55" s="56"/>
    </row>
    <row r="57" ht="15" spans="2:4">
      <c r="B57" s="57" t="s">
        <v>36</v>
      </c>
      <c r="C57" s="58">
        <v>2000</v>
      </c>
    </row>
    <row r="58" ht="15.75" spans="2:4">
      <c r="B58" s="59" t="s">
        <v>37</v>
      </c>
      <c r="C58" s="60">
        <v>10</v>
      </c>
    </row>
    <row r="60" ht="13.5"/>
    <row r="61" ht="25.5" spans="2:4">
      <c r="B61" s="36" t="s">
        <v>38</v>
      </c>
      <c r="C61" s="37"/>
      <c r="D61" s="21" t="s">
        <v>24</v>
      </c>
    </row>
    <row r="62" ht="15" spans="2:4">
      <c r="B62" s="38" t="s">
        <v>39</v>
      </c>
      <c r="C62" s="39"/>
      <c r="D62" s="25">
        <f xml:space="preserve">C57/C39</f>
        <v>200000</v>
      </c>
    </row>
    <row r="63" ht="15.75" spans="2:4">
      <c r="B63" s="42" t="s">
        <v>40</v>
      </c>
      <c r="C63" s="43"/>
      <c r="D63" s="30">
        <f xml:space="preserve">PMT(C39, C58*12, 0, -D62)</f>
        <v>869.418968051746</v>
      </c>
    </row>
  </sheetData>
  <mergeCells count="15">
    <mergeCell ref="B17:C17"/>
    <mergeCell ref="B42:C42"/>
    <mergeCell ref="B43:C43"/>
    <mergeCell ref="B44:C44"/>
    <mergeCell ref="B45:C45"/>
    <mergeCell ref="B46:C46"/>
    <mergeCell ref="B49:C49"/>
    <mergeCell ref="B50:C50"/>
    <mergeCell ref="B51:C51"/>
    <mergeCell ref="B52:C52"/>
    <mergeCell ref="B53:C53"/>
    <mergeCell ref="B54:C54"/>
    <mergeCell ref="B61:C61"/>
    <mergeCell ref="B62:C62"/>
    <mergeCell ref="B63:C63"/>
  </mergeCells>
  <dataValidations count="1">
    <dataValidation type="list" allowBlank="1" showInputMessage="1" showErrorMessage="1" sqref="C38">
      <formula1>$F$41:$F$43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Aplicação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 Oliveira Scarlati</cp:lastModifiedBy>
  <dcterms:created xsi:type="dcterms:W3CDTF">2026-10-13T10:35:00Z</dcterms:created>
  <dcterms:modified xsi:type="dcterms:W3CDTF">2026-10-15T12:46:22Z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75A1CB790329414292A0E0FE3B6A22DF_11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1</vt:i4>
  </property>
</Properties>
</file>